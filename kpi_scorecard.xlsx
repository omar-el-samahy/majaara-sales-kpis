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ales Rep" sheetId="2" state="visible" r:id="rId2"/>
    <sheet xmlns:r="http://schemas.openxmlformats.org/officeDocument/2006/relationships" name="Team Lead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6324F"/>
      <sz val="11"/>
    </font>
    <font>
      <sz val="11"/>
    </font>
    <font>
      <b val="1"/>
      <color rgb="00FFFFFF"/>
      <sz val="1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FF9C4"/>
      </patternFill>
    </fill>
    <fill>
      <patternFill patternType="solid">
        <fgColor rgb="000D9488"/>
      </patternFill>
    </fill>
    <fill>
      <patternFill patternType="solid">
        <fgColor rgb="00F1F5F9"/>
      </patternFill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1" pivotButton="0" quotePrefix="0" xfId="0"/>
    <xf numFmtId="0" fontId="3" fillId="0" borderId="1" applyAlignment="1" pivotButton="0" quotePrefix="0" xfId="0">
      <alignment vertical="center" wrapText="1"/>
    </xf>
    <xf numFmtId="0" fontId="0" fillId="3" borderId="1" pivotButton="0" quotePrefix="0" xfId="0"/>
    <xf numFmtId="3" fontId="0" fillId="3" borderId="1" pivotButton="0" quotePrefix="0" xfId="0"/>
    <xf numFmtId="1" fontId="0" fillId="3" borderId="1" pivotButton="0" quotePrefix="0" xfId="0"/>
    <xf numFmtId="164" fontId="0" fillId="3" borderId="1" pivotButton="0" quotePrefix="0" xfId="0"/>
    <xf numFmtId="9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" pivotButton="0" quotePrefix="0" xfId="0"/>
    <xf numFmtId="0" fontId="1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4" pivotButton="0" quotePrefix="0" xfId="0"/>
  </cellXfs>
  <cellStyles count="1">
    <cellStyle name="Normal" xfId="0" builtinId="0" hidden="0"/>
  </cellStyles>
  <dxfs count="4">
    <dxf>
      <fill>
        <patternFill patternType="solid">
          <fgColor rgb="00DCFCE7"/>
        </patternFill>
      </fill>
    </dxf>
    <dxf>
      <fill>
        <patternFill patternType="solid">
          <fgColor rgb="00DBEAFE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نظام مؤشرات الأداء — Majaara KPI Scorecards</t>
        </is>
      </c>
      <c r="B1" s="2" t="n"/>
      <c r="C1" s="2" t="n"/>
      <c r="D1" s="2" t="n"/>
      <c r="E1" s="2" t="n"/>
      <c r="F1" s="2" t="n"/>
    </row>
    <row r="2">
      <c r="A2" s="3" t="inlineStr"/>
    </row>
    <row r="3">
      <c r="A3" s="4" t="inlineStr">
        <is>
          <t>كيفية الاستخدام | How to use:</t>
        </is>
      </c>
    </row>
    <row r="4">
      <c r="A4" s="3" t="inlineStr">
        <is>
          <t>1. املأ الخلايا الصفراء فقط (الأهداف والمنجزات) — النقاط تُحتسب تلقائياً.</t>
        </is>
      </c>
    </row>
    <row r="5">
      <c r="A5" s="3" t="inlineStr">
        <is>
          <t>1. Fill the YELLOW cells only (targets &amp; actuals) — points are calculated automatically.</t>
        </is>
      </c>
    </row>
    <row r="6">
      <c r="A6" s="3" t="inlineStr">
        <is>
          <t>2. ورقة 'Sales Rep' لمندوبي المبيعات (100 نقطة) وورقة 'Team Leader' لقادة الفرق (110 نقاط).</t>
        </is>
      </c>
    </row>
    <row r="7">
      <c r="A7" s="3" t="inlineStr">
        <is>
          <t>2. Sheet 'Sales Rep' is for sales representatives (100 pts), sheet 'Team Leader' for team leaders (110 pts).</t>
        </is>
      </c>
    </row>
    <row r="8">
      <c r="A8" s="3" t="inlineStr">
        <is>
          <t>3. التقييم: ممتاز / جيد جداً / يحتاج تحسين / مراجعة — يظهر تلقائياً مع تنسيق ملون.</t>
        </is>
      </c>
    </row>
    <row r="9">
      <c r="A9" s="3" t="inlineStr">
        <is>
          <t>3. Rating: Excellent / Very Good / Needs Improvement / Under Review — shown automatically with colors.</t>
        </is>
      </c>
    </row>
    <row r="10">
      <c r="A10" s="3" t="inlineStr"/>
    </row>
    <row r="11">
      <c r="A11" s="3" t="inlineStr">
        <is>
          <t>ملاحظة: فئات النقاط مطابقة لوثيقة KPIs الرسمية. بعض فئات المكافأة (تجاوز الهدف) تعطي نقاطاً أعلى من الحد الأقصى الموجز في جدول الملخص، لذا قد يتجاوز المجموع 100/110 بشكل طفيف عند تجاوز الأهداف.</t>
        </is>
      </c>
    </row>
    <row r="12">
      <c r="A12" s="3" t="inlineStr">
        <is>
          <t>Note: tiers follow the official KPI document verbatim. Bonus tiers may slightly exceed the 100/110 summary max when targets are exceeded.</t>
        </is>
      </c>
    </row>
  </sheetData>
  <mergeCells count="12">
    <mergeCell ref="A2:F2"/>
    <mergeCell ref="A11:F11"/>
    <mergeCell ref="A10:F10"/>
    <mergeCell ref="A1:F1"/>
    <mergeCell ref="A5:F5"/>
    <mergeCell ref="A9:F9"/>
    <mergeCell ref="A8:F8"/>
    <mergeCell ref="A6:F6"/>
    <mergeCell ref="A12:F12"/>
    <mergeCell ref="A4:F4"/>
    <mergeCell ref="A3:F3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بطاقة تقييم مندوب المبيعات | Sales Representative Scorecard</t>
        </is>
      </c>
      <c r="B1" s="2" t="n"/>
      <c r="C1" s="2" t="n"/>
      <c r="D1" s="2" t="n"/>
      <c r="E1" s="2" t="n"/>
    </row>
    <row r="3">
      <c r="A3" s="5" t="inlineStr">
        <is>
          <t>الأهداف الشهرية | Monthly Targets</t>
        </is>
      </c>
    </row>
    <row r="4">
      <c r="A4" s="6" t="inlineStr">
        <is>
          <t>هدف المبيعات | Sales target</t>
        </is>
      </c>
      <c r="B4" s="7" t="n"/>
    </row>
    <row r="5">
      <c r="A5" s="6" t="inlineStr">
        <is>
          <t>هدف الاجتماعات | Meetings target</t>
        </is>
      </c>
      <c r="B5" s="7" t="n"/>
    </row>
    <row r="6">
      <c r="A6" s="6" t="inlineStr">
        <is>
          <t>دورة البيع المستهدفة (يوم) | Target cycle (days)</t>
        </is>
      </c>
      <c r="B6" s="7" t="n"/>
    </row>
    <row r="8">
      <c r="A8" s="5" t="inlineStr">
        <is>
          <t>المنجز الفعلي | Actuals</t>
        </is>
      </c>
    </row>
    <row r="9">
      <c r="A9" s="6" t="inlineStr">
        <is>
          <t>المبيعات المحققة | Sales achieved</t>
        </is>
      </c>
      <c r="B9" s="8" t="n"/>
    </row>
    <row r="10">
      <c r="A10" s="6" t="inlineStr">
        <is>
          <t>الاجتماعات المنفذة | Meetings held</t>
        </is>
      </c>
      <c r="B10" s="9" t="n"/>
    </row>
    <row r="11">
      <c r="A11" s="6" t="inlineStr">
        <is>
          <t>الصفقات المغلقة | Deals closed</t>
        </is>
      </c>
      <c r="B11" s="9" t="n"/>
    </row>
    <row r="12">
      <c r="A12" s="6" t="inlineStr">
        <is>
          <t>متوسط دورة البيع (يوم) | Avg sales cycle (days)</t>
        </is>
      </c>
      <c r="B12" s="10" t="n"/>
    </row>
    <row r="13">
      <c r="A13" s="6" t="inlineStr">
        <is>
          <t>الالتزام بـ CRM (%) | CRM compliance %</t>
        </is>
      </c>
      <c r="B13" s="11" t="n"/>
    </row>
    <row r="14">
      <c r="A14" s="6" t="inlineStr">
        <is>
          <t>متوسط تقييم العملاء (0-10) | Avg customer rating</t>
        </is>
      </c>
      <c r="B14" s="10" t="n"/>
    </row>
    <row r="17">
      <c r="A17" s="12" t="inlineStr">
        <is>
          <t>المؤشر | KPI</t>
        </is>
      </c>
      <c r="B17" s="12" t="inlineStr">
        <is>
          <t>المنجز | Actual</t>
        </is>
      </c>
      <c r="C17" s="12" t="inlineStr">
        <is>
          <t>الفئة | Tier</t>
        </is>
      </c>
      <c r="D17" s="12" t="inlineStr">
        <is>
          <t>النقاط | Points</t>
        </is>
      </c>
      <c r="E17" s="12" t="inlineStr">
        <is>
          <t>الحد | Max</t>
        </is>
      </c>
    </row>
    <row r="18">
      <c r="A18" s="6" t="inlineStr">
        <is>
          <t>تحقيق الإيرادات مقابل الهدف | Revenue vs target</t>
        </is>
      </c>
      <c r="B18" s="13" t="n"/>
      <c r="C18" s="13">
        <f>IF(B9="","",TEXT(B9/B4,"0%"))</f>
        <v/>
      </c>
      <c r="D18" s="14">
        <f>IF(B4&lt;=0,0,IF(B9/B4&gt;=115%,40,IF(B9/B4&gt;=100%,35,IF(B9/B4&gt;=80%,25,IF(B9/B4&gt;=60%,15,IF(B9/B4&gt;=50%,10,5))))))</f>
        <v/>
      </c>
      <c r="E18" s="15" t="n">
        <v>40</v>
      </c>
    </row>
    <row r="19">
      <c r="A19" s="6" t="inlineStr">
        <is>
          <t>الاجتماعات الفعالة مقابل الهدف | Meetings vs target</t>
        </is>
      </c>
      <c r="B19" s="13" t="n"/>
      <c r="C19" s="13">
        <f>IF(B10="","",TEXT(B10/B5,"0%"))</f>
        <v/>
      </c>
      <c r="D19" s="14">
        <f>IF(B5&lt;=0,0,IF(B10/B5&gt;=120%,20,IF(B10/B5&gt;=100%,15,IF(B10/B5&gt;=80%,10,IF(B10/B5&gt;=65%,5,0)))))</f>
        <v/>
      </c>
      <c r="E19" s="15" t="n">
        <v>20</v>
      </c>
    </row>
    <row r="20">
      <c r="A20" s="6" t="inlineStr">
        <is>
          <t>نسبة إغلاق الصفقات | Deal closure rate</t>
        </is>
      </c>
      <c r="B20" s="13" t="n"/>
      <c r="C20" s="13">
        <f>IF(OR(B10="",B10=0),"",TEXT(B11/B10,"0%"))</f>
        <v/>
      </c>
      <c r="D20" s="14">
        <f>IF(B10=0,0,IF(B11/B10&gt;30%,20,IF(B11/B10&gt;=20%,15,IF(B11/B10&gt;=10%,10,5))))</f>
        <v/>
      </c>
      <c r="E20" s="15" t="n">
        <v>20</v>
      </c>
    </row>
    <row r="21">
      <c r="A21" s="6" t="inlineStr">
        <is>
          <t>كفاءة دورة المبيعات | Sales cycle efficiency</t>
        </is>
      </c>
      <c r="B21" s="13" t="n"/>
      <c r="C21" s="13">
        <f>IF(OR(B12="",B6&lt;=0),"",TEXT(B12/B6,"0%")&amp;" of target")</f>
        <v/>
      </c>
      <c r="D21" s="14">
        <f>IF(OR(B12="",B6&lt;=0),0,IF(B12&lt;B6,15,IF(B12=B6,10,IF(B12&lt;=B6*1.2,8,3))))</f>
        <v/>
      </c>
      <c r="E21" s="15" t="n">
        <v>15</v>
      </c>
    </row>
    <row r="22">
      <c r="A22" s="6" t="inlineStr">
        <is>
          <t>استخدام CRM وإدارة البيانات | CRM usage</t>
        </is>
      </c>
      <c r="B22" s="13" t="n"/>
      <c r="C22" s="13">
        <f>IF(B13="","",TEXT(B13,"0%"))</f>
        <v/>
      </c>
      <c r="D22" s="14">
        <f>IF(B13="",0,IF(B13&gt;=100%,10,IF(B13&gt;=75%,8,IF(B13&gt;=60%,4,0))))</f>
        <v/>
      </c>
      <c r="E22" s="15" t="n">
        <v>10</v>
      </c>
    </row>
    <row r="23">
      <c r="A23" s="6" t="inlineStr">
        <is>
          <t>رضا العملاء | Customer satisfaction</t>
        </is>
      </c>
      <c r="B23" s="13" t="n"/>
      <c r="C23" s="13">
        <f>IF(B14="","",""&amp;B14&amp;" / 10")</f>
        <v/>
      </c>
      <c r="D23" s="14">
        <f>IF(B14="",0,IF(B14&gt;=9,10,IF(B14&gt;=8,8,IF(B14&gt;=7,5,3))))</f>
        <v/>
      </c>
      <c r="E23" s="15" t="n">
        <v>10</v>
      </c>
    </row>
    <row r="24">
      <c r="A24" s="16" t="inlineStr">
        <is>
          <t>المجموع الكلي | Total</t>
        </is>
      </c>
      <c r="D24" s="17">
        <f>SUM(D18:D23)</f>
        <v/>
      </c>
      <c r="E24" s="15" t="n">
        <v>105</v>
      </c>
    </row>
    <row r="25">
      <c r="A25" s="16" t="inlineStr">
        <is>
          <t>التقييم | Rating</t>
        </is>
      </c>
      <c r="C25" s="18">
        <f>IF(D24&gt;85,"ممتاز | Excellent",IF(D24&gt;=75,"جيد جداً | Very Good",IF(D24&gt;=60,"يحتاج تحسين | Needs Improvement","مراجعة | Under Review")))</f>
        <v/>
      </c>
      <c r="D25" s="19" t="n"/>
    </row>
  </sheetData>
  <mergeCells count="2">
    <mergeCell ref="A1:E1"/>
    <mergeCell ref="C25:D25"/>
  </mergeCells>
  <conditionalFormatting sqref="C25">
    <cfRule type="expression" priority="1" dxfId="0">
      <formula>$D$24&gt;85</formula>
    </cfRule>
    <cfRule type="expression" priority="2" dxfId="1">
      <formula>AND($D$24&gt;=75,$D$24&lt;=85)</formula>
    </cfRule>
    <cfRule type="expression" priority="3" dxfId="2">
      <formula>AND($D$24&gt;=60,$D$24&lt;75)</formula>
    </cfRule>
    <cfRule type="expression" priority="4" dxfId="3">
      <formula>$D$24&lt;60</formula>
    </cfRule>
  </conditionalFormatting>
  <dataValidations count="1">
    <dataValidation sqref="B14" showDropDown="0" showInputMessage="0" showErrorMessage="0" allowBlank="1" type="decimal" operator="between">
      <formula1>0</formula1>
      <formula2>10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بطاقة تقييم قائد فريق المبيعات | Team Leader Scorecard</t>
        </is>
      </c>
      <c r="B1" s="2" t="n"/>
      <c r="C1" s="2" t="n"/>
      <c r="D1" s="2" t="n"/>
      <c r="E1" s="2" t="n"/>
    </row>
    <row r="3">
      <c r="A3" s="5" t="inlineStr">
        <is>
          <t>الأهداف الشهرية | Monthly Targets</t>
        </is>
      </c>
    </row>
    <row r="4">
      <c r="A4" s="6" t="inlineStr">
        <is>
          <t>هدف مبيعات الفريق | Team sales target</t>
        </is>
      </c>
      <c r="B4" s="7" t="n"/>
    </row>
    <row r="5">
      <c r="A5" s="6" t="inlineStr">
        <is>
          <t>هدف اجتماعات القائد | Leader meetings target</t>
        </is>
      </c>
      <c r="B5" s="7" t="n"/>
    </row>
    <row r="7">
      <c r="A7" s="5" t="inlineStr">
        <is>
          <t>المنجز الفعلي | Actuals</t>
        </is>
      </c>
    </row>
    <row r="8">
      <c r="A8" s="6" t="inlineStr">
        <is>
          <t>مبيعات الفريق المحققة | Team sales achieved</t>
        </is>
      </c>
      <c r="B8" s="8" t="n"/>
    </row>
    <row r="9">
      <c r="A9" s="6" t="inlineStr">
        <is>
          <t>اجتماعات قادها/دعمها | Meetings led/supported</t>
        </is>
      </c>
      <c r="B9" s="9" t="n"/>
    </row>
    <row r="10">
      <c r="A10" s="6" t="inlineStr">
        <is>
          <t>إجمالي اجتماعات الفريق | Team total meetings</t>
        </is>
      </c>
      <c r="B10" s="9" t="n"/>
    </row>
    <row r="11">
      <c r="A11" s="6" t="inlineStr">
        <is>
          <t>صفقات الفريق المغلقة | Team deals closed</t>
        </is>
      </c>
      <c r="B11" s="9" t="n"/>
    </row>
    <row r="12">
      <c r="A12" s="6" t="inlineStr">
        <is>
          <t>أعضاء يحققون أهدافهم (عدد) | Members achieving goals</t>
        </is>
      </c>
      <c r="B12" s="9" t="n"/>
    </row>
    <row r="13">
      <c r="A13" s="6" t="inlineStr">
        <is>
          <t>إجمالي الأعضاء | Total members</t>
        </is>
      </c>
      <c r="B13" s="9" t="n"/>
    </row>
    <row r="14">
      <c r="A14" s="6" t="inlineStr">
        <is>
          <t>دقة CRM | CRM accuracy status</t>
        </is>
      </c>
      <c r="B14" s="7" t="n"/>
    </row>
    <row r="15">
      <c r="A15" s="6" t="inlineStr">
        <is>
          <t>حالة مبادرات التحسين | Initiative status</t>
        </is>
      </c>
      <c r="B15" s="7" t="n"/>
    </row>
    <row r="17">
      <c r="A17" s="12" t="inlineStr">
        <is>
          <t>المؤشر | KPI</t>
        </is>
      </c>
      <c r="B17" s="12" t="inlineStr">
        <is>
          <t>المنجز | Actual</t>
        </is>
      </c>
      <c r="C17" s="12" t="inlineStr">
        <is>
          <t>الفئة | Tier</t>
        </is>
      </c>
      <c r="D17" s="12" t="inlineStr">
        <is>
          <t>النقاط | Points</t>
        </is>
      </c>
      <c r="E17" s="12" t="inlineStr">
        <is>
          <t>الحد | Max</t>
        </is>
      </c>
    </row>
    <row r="18">
      <c r="A18" s="6" t="inlineStr">
        <is>
          <t>تحقيق أهداف الفريق | Team goal achievement</t>
        </is>
      </c>
      <c r="B18" s="13" t="n"/>
      <c r="C18" s="13">
        <f>IF(B8="","",TEXT(B8/B4,"0%"))</f>
        <v/>
      </c>
      <c r="D18" s="14">
        <f>IF(B4&lt;=0,0,IF(B8/B4&gt;=120%,30,IF(B8/B4&gt;=100%,25,IF(B8/B4&gt;=80%,20,IF(B8/B4&gt;=50%,15,5)))))</f>
        <v/>
      </c>
      <c r="E18" s="15" t="n">
        <v>30</v>
      </c>
    </row>
    <row r="19">
      <c r="A19" s="6" t="inlineStr">
        <is>
          <t>الإرشاد على الاجتماعات | Meetings organized/supported</t>
        </is>
      </c>
      <c r="B19" s="13" t="n"/>
      <c r="C19" s="13">
        <f>IF(B9="","",TEXT(B9/B5,"0%"))</f>
        <v/>
      </c>
      <c r="D19" s="14">
        <f>IF(B5&lt;=0,0,IF(B9/B5&gt;=120%,20,IF(B9/B5&gt;=100%,15,IF(B9/B5&gt;=80%,10,5))))</f>
        <v/>
      </c>
      <c r="E19" s="15" t="n">
        <v>20</v>
      </c>
    </row>
    <row r="20">
      <c r="A20" s="6" t="inlineStr">
        <is>
          <t>تطوير أعضاء الفريق | Members achieving goals</t>
        </is>
      </c>
      <c r="B20" s="13" t="n"/>
      <c r="C20" s="13">
        <f>IF(OR(B13="",B13=0),"",TEXT(B12/B13,"0%"))</f>
        <v/>
      </c>
      <c r="D20" s="14">
        <f>IF(B13=0,0,IF(B12/B13&gt;=90%,20,IF(B12/B13&gt;=75%,15,IF(B12/B13&gt;=60%,10,5))))</f>
        <v/>
      </c>
      <c r="E20" s="15" t="n">
        <v>20</v>
      </c>
    </row>
    <row r="21">
      <c r="A21" s="6" t="inlineStr">
        <is>
          <t>نسبة إغلاق صفقات الفريق | Team closure rate</t>
        </is>
      </c>
      <c r="B21" s="13" t="n"/>
      <c r="C21" s="13">
        <f>IF(OR(B10="",B10=0),"",TEXT(B11/B10,"0%"))</f>
        <v/>
      </c>
      <c r="D21" s="14">
        <f>IF(B10=0,0,IF(B11/B10&gt;50%,15,IF(B11/B10&gt;=40%,12,IF(B11/B10&gt;=30%,8,5))))</f>
        <v/>
      </c>
      <c r="E21" s="15" t="n">
        <v>15</v>
      </c>
    </row>
    <row r="22">
      <c r="A22" s="6" t="inlineStr">
        <is>
          <t>أدوات الإدارة والتقارير | CRM &amp; reporting tools</t>
        </is>
      </c>
      <c r="B22" s="13" t="n"/>
      <c r="C22" s="13">
        <f>IF(B14="","","—")</f>
        <v/>
      </c>
      <c r="D22" s="14">
        <f>IF(B14="100% دقة ووقت | Accurate",15,IF(B14="بعض أخطاء | Some errors",12,IF(B14="تكرار أخطاء | Repeated",9,IF(B14="إهمال | Neglect",2,0))))</f>
        <v/>
      </c>
      <c r="E22" s="15" t="n">
        <v>15</v>
      </c>
    </row>
    <row r="23">
      <c r="A23" s="6" t="inlineStr">
        <is>
          <t>مبادرات تحسين الأداء | Performance initiatives</t>
        </is>
      </c>
      <c r="B23" s="13" t="n"/>
      <c r="C23" s="13">
        <f>IF(B15="","","—")</f>
        <v/>
      </c>
      <c r="D23" s="14">
        <f>IF(B15="ناجحة | Success",10,IF(B15="غير ناجحة | Failed",7,IF(B15="خارجية | External",5,IF(B15="دون تطبيق | Proposed only",3,IF(B15="لا شيء | None",0,0)))))</f>
        <v/>
      </c>
      <c r="E23" s="15" t="n">
        <v>10</v>
      </c>
    </row>
    <row r="24">
      <c r="A24" s="16" t="inlineStr">
        <is>
          <t>المجموع الكلي | Total</t>
        </is>
      </c>
      <c r="D24" s="17">
        <f>SUM(D18:D23)</f>
        <v/>
      </c>
      <c r="E24" s="15" t="n">
        <v>110</v>
      </c>
    </row>
    <row r="25">
      <c r="A25" s="16" t="inlineStr">
        <is>
          <t>التقييم | Rating</t>
        </is>
      </c>
      <c r="C25" s="18">
        <f>IF(D24&gt;88,"ممتاز | Excellent",IF(D24&gt;=75,"جيد جداً | Very Good",IF(D24&gt;=65,"يحتاج تحسين | Needs Improvement","مراجعة | Under Review")))</f>
        <v/>
      </c>
      <c r="D25" s="19" t="n"/>
    </row>
  </sheetData>
  <mergeCells count="2">
    <mergeCell ref="A1:E1"/>
    <mergeCell ref="C25:D25"/>
  </mergeCells>
  <conditionalFormatting sqref="C25">
    <cfRule type="expression" priority="1" dxfId="0">
      <formula>$D$24&gt;88</formula>
    </cfRule>
    <cfRule type="expression" priority="2" dxfId="1">
      <formula>AND($D$24&gt;=75,$D$24&lt;=88)</formula>
    </cfRule>
    <cfRule type="expression" priority="3" dxfId="2">
      <formula>AND($D$24&gt;=65,$D$24&lt;75)</formula>
    </cfRule>
    <cfRule type="expression" priority="4" dxfId="3">
      <formula>$D$24&lt;65</formula>
    </cfRule>
  </conditionalFormatting>
  <dataValidations count="2">
    <dataValidation sqref="B14" showDropDown="0" showInputMessage="0" showErrorMessage="0" allowBlank="1" type="list">
      <formula1>"100% دقة ووقت | Accurate,بعض أخطاء | Some errors,تكرار أخطاء | Repeated,إهمال | Neglect"</formula1>
    </dataValidation>
    <dataValidation sqref="B15" showDropDown="0" showInputMessage="0" showErrorMessage="0" allowBlank="1" type="list">
      <formula1>"ناجحة | Success,غير ناجحة | Failed,خارجية | External,دون تطبيق | Proposed only,لا شيء | None"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2026-08-24T12:11:16Z</dcterms:created>
  <dcterms:modified xmlns:dcterms="http://purl.org/dc/terms/" xmlns:xsi="http://www.w3.org/2001/XMLSchema-instance" xsi:type="dcterms:W3CDTF">2026-08-24T12:11:16Z</dcterms:modified>
</cp:coreProperties>
</file>